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banasreesarkarmou/Desktop/git/quantitative-projects/risk_model_goldmansachs/excel/"/>
    </mc:Choice>
  </mc:AlternateContent>
  <xr:revisionPtr revIDLastSave="0" documentId="13_ncr:1_{A2A436FD-5549-9546-84DF-D93A9C3966BD}" xr6:coauthVersionLast="47" xr6:coauthVersionMax="47" xr10:uidLastSave="{00000000-0000-0000-0000-000000000000}"/>
  <bookViews>
    <workbookView xWindow="5120" yWindow="500" windowWidth="20080" windowHeight="18900" tabRatio="500" activeTab="3" xr2:uid="{00000000-000D-0000-FFFF-FFFF00000000}"/>
  </bookViews>
  <sheets>
    <sheet name="README" sheetId="1" r:id="rId1"/>
    <sheet name="Model Params" sheetId="2" r:id="rId2"/>
    <sheet name="Credit Risk" sheetId="3" r:id="rId3"/>
    <sheet name="Sensitivity" sheetId="4" r:id="rId4"/>
    <sheet name="Real Estate Risk"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2" i="5" l="1"/>
  <c r="I10" i="5"/>
  <c r="D10" i="5"/>
  <c r="E10" i="5" s="1"/>
  <c r="F10" i="5" s="1"/>
  <c r="D9" i="5"/>
  <c r="E9" i="5" s="1"/>
  <c r="F9" i="5" s="1"/>
  <c r="I8" i="5"/>
  <c r="D8" i="5"/>
  <c r="E8" i="5" s="1"/>
  <c r="F8" i="5" s="1"/>
  <c r="D7" i="5"/>
  <c r="E7" i="5" s="1"/>
  <c r="F7" i="5" s="1"/>
  <c r="D6" i="5"/>
  <c r="I6" i="5" s="1"/>
  <c r="E18" i="3"/>
  <c r="D18" i="3"/>
  <c r="C18" i="3"/>
  <c r="B18" i="3"/>
  <c r="E17" i="3"/>
  <c r="D17" i="3"/>
  <c r="C17" i="3"/>
  <c r="B17" i="3"/>
  <c r="E16" i="3"/>
  <c r="D16" i="3"/>
  <c r="C16" i="3"/>
  <c r="B16" i="3"/>
  <c r="E15" i="3"/>
  <c r="D15" i="3"/>
  <c r="C15" i="3"/>
  <c r="B15" i="3"/>
  <c r="E14" i="3"/>
  <c r="E24" i="3" s="1"/>
  <c r="D14" i="3"/>
  <c r="D24" i="3" s="1"/>
  <c r="C14" i="3"/>
  <c r="C24" i="3" s="1"/>
  <c r="B14" i="3"/>
  <c r="B24" i="3" s="1"/>
  <c r="C11" i="2"/>
  <c r="B26" i="3" l="1"/>
  <c r="B25" i="3"/>
  <c r="C26" i="3"/>
  <c r="C25" i="3"/>
  <c r="D26" i="3"/>
  <c r="D25" i="3"/>
  <c r="E25" i="3"/>
  <c r="E26" i="3"/>
  <c r="E22" i="3"/>
  <c r="E23" i="3" s="1"/>
  <c r="I7" i="5"/>
  <c r="I9" i="5"/>
  <c r="E6" i="5"/>
  <c r="F6" i="5" s="1"/>
  <c r="B22" i="3"/>
  <c r="B23" i="3" s="1"/>
  <c r="D12" i="5"/>
  <c r="D13" i="5" s="1"/>
  <c r="C22" i="3"/>
  <c r="C23" i="3" s="1"/>
  <c r="D22" i="3"/>
  <c r="D23" i="3" s="1"/>
</calcChain>
</file>

<file path=xl/sharedStrings.xml><?xml version="1.0" encoding="utf-8"?>
<sst xmlns="http://schemas.openxmlformats.org/spreadsheetml/2006/main" count="135" uniqueCount="111">
  <si>
    <t>Risk Assessment Model — Extended Version</t>
  </si>
  <si>
    <t>Sheet</t>
  </si>
  <si>
    <t>What it contains</t>
  </si>
  <si>
    <t>Model Params</t>
  </si>
  <si>
    <t>Editable weights, caps and risk thresholds (yellow = edit here). Every formula in the workbook references these cells.</t>
  </si>
  <si>
    <t>Credit Risk</t>
  </si>
  <si>
    <t>Four personas' inputs, plus the ORIGINAL model (matches the Forage calculator) and a CORRECTED model side by side, with the flaw explained.</t>
  </si>
  <si>
    <t>Sensitivity</t>
  </si>
  <si>
    <t>One-at-a-time sensitivity analysis: how far each input alone would need to move to flip a persona's risk category.</t>
  </si>
  <si>
    <t>Real Estate Risk</t>
  </si>
  <si>
    <t>Quantified version of the Florida apartment-complex scenario: probability x impact, mitigation strategy, and mitigation cost vs. exposure.</t>
  </si>
  <si>
    <t>The flaw in the original model</t>
  </si>
  <si>
    <t>The Forage calculator adds every normalized factor into the weighted score, including Debt and Late Payments. Because the score is read as 'higher = safer', that means more debt and more missed payments PUSH THE SCORE UP — the opposite of what should happen. The Corrected model inverts those two factors (100 - value) before weighting them. Categories barely move for these four personas, but the ranking and the score gap to the next category boundary both change.</t>
  </si>
  <si>
    <t>Color legend</t>
  </si>
  <si>
    <t>Blue text</t>
  </si>
  <si>
    <t>Hardcoded input — safe to edit</t>
  </si>
  <si>
    <t>Black text</t>
  </si>
  <si>
    <t>Formula — do not overwrite</t>
  </si>
  <si>
    <t>Yellow fill</t>
  </si>
  <si>
    <t>Key assumption / model parameter</t>
  </si>
  <si>
    <t>Model Parameters</t>
  </si>
  <si>
    <t>Edit the yellow cells to re-run the whole model with different weights or thresholds.</t>
  </si>
  <si>
    <t>Parameter</t>
  </si>
  <si>
    <t>Value</t>
  </si>
  <si>
    <t>Credit score weight</t>
  </si>
  <si>
    <t>Annual income weight</t>
  </si>
  <si>
    <t>Debt weight</t>
  </si>
  <si>
    <t>Savings weight</t>
  </si>
  <si>
    <t>Late payments weight</t>
  </si>
  <si>
    <t>Weights sum to</t>
  </si>
  <si>
    <t>Credit score scale — min</t>
  </si>
  <si>
    <t>Credit score scale — max</t>
  </si>
  <si>
    <t>Income cap ($, normalization ceiling)</t>
  </si>
  <si>
    <t>Debt cap ($, normalization ceiling)</t>
  </si>
  <si>
    <t>Savings cap ($, normalization ceiling)</t>
  </si>
  <si>
    <t>Late payments cap (count)</t>
  </si>
  <si>
    <t>High Risk if score &lt;=</t>
  </si>
  <si>
    <t>Medium Risk if score &lt;=</t>
  </si>
  <si>
    <t>Credit Risk — Original vs. Corrected Model</t>
  </si>
  <si>
    <t>Inputs</t>
  </si>
  <si>
    <t>Risk Attribute</t>
  </si>
  <si>
    <t>Persona 1</t>
  </si>
  <si>
    <t>Persona 2</t>
  </si>
  <si>
    <t>Persona 3</t>
  </si>
  <si>
    <t>Persona 4</t>
  </si>
  <si>
    <t>Annual Income ($)</t>
  </si>
  <si>
    <t>Credit Score</t>
  </si>
  <si>
    <t>Debt ($)</t>
  </si>
  <si>
    <t>Savings ($)</t>
  </si>
  <si>
    <t>Late Payments</t>
  </si>
  <si>
    <t>Normalized factors (0-100 scale)</t>
  </si>
  <si>
    <t>Factor</t>
  </si>
  <si>
    <t>Credit Score (N)</t>
  </si>
  <si>
    <t>Annual Income (N)</t>
  </si>
  <si>
    <t>Debt (N, raw)</t>
  </si>
  <si>
    <t>Savings (N)</t>
  </si>
  <si>
    <t>Late Payments (N, raw)</t>
  </si>
  <si>
    <t>Scores &amp; categories</t>
  </si>
  <si>
    <t>Weighted Score — ORIGINAL</t>
  </si>
  <si>
    <t>Category — ORIGINAL</t>
  </si>
  <si>
    <t>Weighted Score — CORRECTED</t>
  </si>
  <si>
    <t>Category — CORRECTED</t>
  </si>
  <si>
    <t>Points to nearest boundary (corrected)</t>
  </si>
  <si>
    <t>Note: the ORIGINAL model matches the Forage risk calculator exactly. The CORRECTED model inverts Debt and Late Payments (100 - value) so more debt and more missed payments lower the score, as they should. See README for detail.</t>
  </si>
  <si>
    <t>Sensitivity Analysis — One Factor at a Time (Corrected Model)</t>
  </si>
  <si>
    <t>For each persona, each input is shifted up and down alone (others held at baseline) to see how far it would need to move to flip the risk category. 'No flip in range' means the tested range (±50% financials, ±100 credit points, 0–5 late payments) was not enough by itself.</t>
  </si>
  <si>
    <t>Persona</t>
  </si>
  <si>
    <t>Input</t>
  </si>
  <si>
    <t>Baseline Score</t>
  </si>
  <si>
    <t>Baseline Category</t>
  </si>
  <si>
    <t>Direction Tested</t>
  </si>
  <si>
    <t>Range Tested</t>
  </si>
  <si>
    <t>Would it flip the category?</t>
  </si>
  <si>
    <t>All 5 inputs</t>
  </si>
  <si>
    <t>Low Risk</t>
  </si>
  <si>
    <t>up/down</t>
  </si>
  <si>
    <t>±50% financial / ±100 credit pts / 0-5 late</t>
  </si>
  <si>
    <t>No flip in range — comfortably inside Low Risk</t>
  </si>
  <si>
    <t>Medium Risk</t>
  </si>
  <si>
    <t>No flip in range on any single input</t>
  </si>
  <si>
    <t>No flip in range — needs multiple inputs to move together</t>
  </si>
  <si>
    <t>Key takeaway: within realistic ranges, no single input alone is strong enough to move any persona into a different risk category — the model requires several factors to move together. Persona 3 sits closest to a boundary (11.03 points above the High Risk line), so it's the most sensitive to a combined shock, e.g. one more late payment together with a modest income drop. The full 200-scenario grid behind this summary is in sensitivity_scenarios.csv / the SQL sensitivity script.</t>
  </si>
  <si>
    <t>Real Estate Risk Register — Florida Apartment Complex</t>
  </si>
  <si>
    <t>Quantified version of the Risk Mitigation Workbook scenario. Probability and impact are this project's own assumptions (see column H), not Goldman Sachs data.</t>
  </si>
  <si>
    <t>Risk</t>
  </si>
  <si>
    <t>Probability</t>
  </si>
  <si>
    <t>Impact if it occurs ($)</t>
  </si>
  <si>
    <t>Expected Annual Loss ($)</t>
  </si>
  <si>
    <t>Risk Score</t>
  </si>
  <si>
    <t>Category</t>
  </si>
  <si>
    <t>Mitigation Strategy</t>
  </si>
  <si>
    <t>Mitigation Cost ($/yr)</t>
  </si>
  <si>
    <t>Mitigation Cost as % of EAL</t>
  </si>
  <si>
    <t>Assumption / Rationale</t>
  </si>
  <si>
    <t>Hurricane / storm damage</t>
  </si>
  <si>
    <t>Windstorm insurance rider + annual roof/drainage inspection</t>
  </si>
  <si>
    <t>Florida coastal exposure; low-frequency, very high-severity event</t>
  </si>
  <si>
    <t>Property tax increase</t>
  </si>
  <si>
    <t>Annual reassessment review with a property tax attorney</t>
  </si>
  <si>
    <t>Moderately likely given rising FL valuations; moderate impact</t>
  </si>
  <si>
    <t>Occupancy drop from new competing complexes</t>
  </si>
  <si>
    <t>Tenant retention incentives + accelerate amenity upgrades</t>
  </si>
  <si>
    <t>New supply visible in the local pipeline; direct hit to rental income</t>
  </si>
  <si>
    <t>Seasonal occupancy swings</t>
  </si>
  <si>
    <t>Flexible/short-term lease mix to smooth off-season vacancy</t>
  </si>
  <si>
    <t>Near-certain annually in FL rental markets; comparatively small impact</t>
  </si>
  <si>
    <t>Major unplanned repair (non-storm)</t>
  </si>
  <si>
    <t>Capital reserve fund from NOI + preventive maintenance plan</t>
  </si>
  <si>
    <t>Aging-building risk; reserve funding is cheaper than reactive repair</t>
  </si>
  <si>
    <t>TOTAL</t>
  </si>
  <si>
    <t>Net exposure after mitigation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</si>
</sst>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8" x14ac:knownFonts="1">
    <font>
      <sz val="11"/>
      <color theme="1"/>
      <name val="Calibri"/>
      <family val="2"/>
      <charset val="1"/>
    </font>
    <font>
      <b/>
      <sz val="16"/>
      <name val="Arial"/>
      <charset val="1"/>
    </font>
    <font>
      <b/>
      <sz val="11"/>
      <name val="Arial"/>
      <charset val="1"/>
    </font>
    <font>
      <sz val="11"/>
      <color rgb="FF0000FF"/>
      <name val="Arial"/>
      <charset val="1"/>
    </font>
    <font>
      <sz val="11"/>
      <color rgb="FF000000"/>
      <name val="Arial"/>
      <charset val="1"/>
    </font>
    <font>
      <b/>
      <sz val="14"/>
      <name val="Arial"/>
      <charset val="1"/>
    </font>
    <font>
      <b/>
      <sz val="11"/>
      <color rgb="FFFFFFFF"/>
      <name val="Arial"/>
      <charset val="1"/>
    </font>
    <font>
      <b/>
      <sz val="14"/>
      <name val="Arial"/>
      <family val="2"/>
    </font>
  </fonts>
  <fills count="4">
    <fill>
      <patternFill patternType="none"/>
    </fill>
    <fill>
      <patternFill patternType="gray125"/>
    </fill>
    <fill>
      <patternFill patternType="solid">
        <fgColor rgb="FFFFFF00"/>
        <bgColor rgb="FFFFFF00"/>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0" borderId="0" xfId="0" applyFont="1"/>
    <xf numFmtId="0" fontId="0" fillId="2" borderId="0" xfId="0" applyFill="1"/>
    <xf numFmtId="0" fontId="5" fillId="0" borderId="0" xfId="0" applyFont="1"/>
    <xf numFmtId="0" fontId="6" fillId="3" borderId="0" xfId="0" applyFont="1" applyFill="1"/>
    <xf numFmtId="9" fontId="3" fillId="2" borderId="0" xfId="0" applyNumberFormat="1" applyFont="1" applyFill="1"/>
    <xf numFmtId="9" fontId="4" fillId="0" borderId="0" xfId="0" applyNumberFormat="1" applyFont="1"/>
    <xf numFmtId="0" fontId="3" fillId="2" borderId="0" xfId="0" applyFont="1" applyFill="1"/>
    <xf numFmtId="0" fontId="6" fillId="3" borderId="1" xfId="0" applyFont="1" applyFill="1" applyBorder="1" applyAlignment="1">
      <alignment horizontal="center" vertical="center" wrapText="1"/>
    </xf>
    <xf numFmtId="164" fontId="3" fillId="0" borderId="1" xfId="0" applyNumberFormat="1" applyFont="1" applyBorder="1"/>
    <xf numFmtId="0" fontId="3" fillId="0" borderId="1" xfId="0" applyFont="1" applyBorder="1"/>
    <xf numFmtId="165" fontId="4" fillId="0" borderId="1" xfId="0" applyNumberFormat="1" applyFont="1" applyBorder="1"/>
    <xf numFmtId="2" fontId="4" fillId="0" borderId="1" xfId="0" applyNumberFormat="1" applyFont="1" applyBorder="1"/>
    <xf numFmtId="0" fontId="4" fillId="0" borderId="1" xfId="0" applyFont="1" applyBorder="1"/>
    <xf numFmtId="0" fontId="0" fillId="0" borderId="1" xfId="0" applyBorder="1" applyAlignment="1">
      <alignment vertical="top" wrapText="1"/>
    </xf>
    <xf numFmtId="2" fontId="0" fillId="0" borderId="1" xfId="0" applyNumberFormat="1" applyBorder="1" applyAlignment="1">
      <alignment vertical="top" wrapText="1"/>
    </xf>
    <xf numFmtId="0" fontId="0" fillId="0" borderId="1" xfId="0" applyBorder="1"/>
    <xf numFmtId="9" fontId="3" fillId="0" borderId="1" xfId="0" applyNumberFormat="1" applyFont="1" applyBorder="1"/>
    <xf numFmtId="164" fontId="4" fillId="0" borderId="1" xfId="0" applyNumberFormat="1" applyFont="1" applyBorder="1"/>
    <xf numFmtId="0" fontId="0" fillId="0" borderId="1" xfId="0" applyBorder="1" applyAlignment="1">
      <alignment wrapText="1"/>
    </xf>
    <xf numFmtId="166" fontId="4" fillId="0" borderId="1" xfId="0" applyNumberFormat="1" applyFont="1" applyBorder="1"/>
    <xf numFmtId="164" fontId="2" fillId="0" borderId="0" xfId="0" applyNumberFormat="1" applyFont="1"/>
    <xf numFmtId="0" fontId="7" fillId="0" borderId="0" xfId="0" applyFont="1"/>
  </cellXfs>
  <cellStyles count="1">
    <cellStyle name="Normal" xfId="0" builtinId="0"/>
  </cellStyles>
  <dxfs count="9">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showGridLines="0" zoomScaleNormal="100" workbookViewId="0">
      <selection activeCell="J26" sqref="J26"/>
    </sheetView>
  </sheetViews>
  <sheetFormatPr baseColWidth="10" defaultColWidth="8.6640625" defaultRowHeight="15" x14ac:dyDescent="0.2"/>
  <cols>
    <col min="1" max="1" width="2" customWidth="1"/>
    <col min="2" max="2" width="22" customWidth="1"/>
    <col min="3" max="3" width="70" customWidth="1"/>
  </cols>
  <sheetData>
    <row r="2" spans="2:8" ht="19.5" customHeight="1" x14ac:dyDescent="0.2">
      <c r="B2" s="3" t="s">
        <v>0</v>
      </c>
    </row>
    <row r="3" spans="2:8" ht="20" customHeight="1" x14ac:dyDescent="0.2"/>
    <row r="5" spans="2:8" x14ac:dyDescent="0.2">
      <c r="B5" s="4" t="s">
        <v>1</v>
      </c>
      <c r="C5" s="2" t="s">
        <v>2</v>
      </c>
      <c r="D5" s="2"/>
      <c r="E5" s="2"/>
      <c r="F5" s="2"/>
      <c r="G5" s="2"/>
      <c r="H5" s="2"/>
    </row>
    <row r="6" spans="2:8" ht="30" customHeight="1" x14ac:dyDescent="0.2">
      <c r="B6" s="4" t="s">
        <v>3</v>
      </c>
      <c r="C6" s="2" t="s">
        <v>4</v>
      </c>
      <c r="D6" s="2"/>
      <c r="E6" s="2"/>
      <c r="F6" s="2"/>
      <c r="G6" s="2"/>
      <c r="H6" s="2"/>
    </row>
    <row r="7" spans="2:8" ht="30" customHeight="1" x14ac:dyDescent="0.2">
      <c r="B7" s="4" t="s">
        <v>5</v>
      </c>
      <c r="C7" s="2" t="s">
        <v>6</v>
      </c>
      <c r="D7" s="2"/>
      <c r="E7" s="2"/>
      <c r="F7" s="2"/>
      <c r="G7" s="2"/>
      <c r="H7" s="2"/>
    </row>
    <row r="8" spans="2:8" ht="30" customHeight="1" x14ac:dyDescent="0.2">
      <c r="B8" s="4" t="s">
        <v>7</v>
      </c>
      <c r="C8" s="2" t="s">
        <v>8</v>
      </c>
      <c r="D8" s="2"/>
      <c r="E8" s="2"/>
      <c r="F8" s="2"/>
      <c r="G8" s="2"/>
      <c r="H8" s="2"/>
    </row>
    <row r="9" spans="2:8" ht="30" customHeight="1" x14ac:dyDescent="0.2">
      <c r="B9" s="4" t="s">
        <v>9</v>
      </c>
      <c r="C9" s="2" t="s">
        <v>10</v>
      </c>
      <c r="D9" s="2"/>
      <c r="E9" s="2"/>
      <c r="F9" s="2"/>
      <c r="G9" s="2"/>
      <c r="H9" s="2"/>
    </row>
    <row r="10" spans="2:8" ht="30" customHeight="1" x14ac:dyDescent="0.2"/>
    <row r="11" spans="2:8" ht="18" x14ac:dyDescent="0.2">
      <c r="B11" s="27" t="s">
        <v>11</v>
      </c>
    </row>
    <row r="12" spans="2:8" ht="15" customHeight="1" x14ac:dyDescent="0.2">
      <c r="B12" s="2" t="s">
        <v>12</v>
      </c>
      <c r="C12" s="2"/>
      <c r="D12" s="2"/>
      <c r="E12" s="2"/>
      <c r="F12" s="2"/>
      <c r="G12" s="2"/>
      <c r="H12" s="2"/>
    </row>
    <row r="13" spans="2:8" ht="27" customHeight="1" x14ac:dyDescent="0.2"/>
    <row r="14" spans="2:8" x14ac:dyDescent="0.2">
      <c r="B14" s="4" t="s">
        <v>13</v>
      </c>
    </row>
    <row r="15" spans="2:8" ht="15" customHeight="1" x14ac:dyDescent="0.2">
      <c r="B15" s="5" t="s">
        <v>14</v>
      </c>
      <c r="C15" t="s">
        <v>15</v>
      </c>
    </row>
    <row r="16" spans="2:8" ht="15" customHeight="1" x14ac:dyDescent="0.2">
      <c r="B16" s="6" t="s">
        <v>16</v>
      </c>
      <c r="C16" t="s">
        <v>17</v>
      </c>
    </row>
    <row r="17" spans="2:3" ht="15" customHeight="1" x14ac:dyDescent="0.2">
      <c r="B17" s="7" t="s">
        <v>18</v>
      </c>
      <c r="C17" t="s">
        <v>19</v>
      </c>
    </row>
    <row r="18" spans="2:3" ht="15" customHeight="1" x14ac:dyDescent="0.2"/>
  </sheetData>
  <mergeCells count="6">
    <mergeCell ref="C9:H9"/>
    <mergeCell ref="B12:H12"/>
    <mergeCell ref="C5:H5"/>
    <mergeCell ref="C6:H6"/>
    <mergeCell ref="C7:H7"/>
    <mergeCell ref="C8: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1"/>
  <sheetViews>
    <sheetView showGridLines="0" zoomScaleNormal="100" workbookViewId="0"/>
  </sheetViews>
  <sheetFormatPr baseColWidth="10" defaultColWidth="8.6640625" defaultRowHeight="15" x14ac:dyDescent="0.2"/>
  <cols>
    <col min="1" max="1" width="2" customWidth="1"/>
    <col min="2" max="2" width="40" customWidth="1"/>
    <col min="3" max="3" width="14" customWidth="1"/>
  </cols>
  <sheetData>
    <row r="2" spans="2:6" ht="17.25" customHeight="1" x14ac:dyDescent="0.2">
      <c r="B2" s="8" t="s">
        <v>20</v>
      </c>
    </row>
    <row r="3" spans="2:6" ht="15" customHeight="1" x14ac:dyDescent="0.2">
      <c r="B3" s="1" t="s">
        <v>21</v>
      </c>
      <c r="C3" s="1"/>
      <c r="D3" s="1"/>
      <c r="E3" s="1"/>
      <c r="F3" s="1"/>
    </row>
    <row r="5" spans="2:6" ht="15" customHeight="1" x14ac:dyDescent="0.2">
      <c r="B5" s="9" t="s">
        <v>22</v>
      </c>
      <c r="C5" s="9" t="s">
        <v>23</v>
      </c>
    </row>
    <row r="6" spans="2:6" ht="15" customHeight="1" x14ac:dyDescent="0.2">
      <c r="B6" t="s">
        <v>24</v>
      </c>
      <c r="C6" s="10">
        <v>0.25</v>
      </c>
    </row>
    <row r="7" spans="2:6" ht="15" customHeight="1" x14ac:dyDescent="0.2">
      <c r="B7" t="s">
        <v>25</v>
      </c>
      <c r="C7" s="10">
        <v>0.2</v>
      </c>
    </row>
    <row r="8" spans="2:6" ht="15" customHeight="1" x14ac:dyDescent="0.2">
      <c r="B8" t="s">
        <v>26</v>
      </c>
      <c r="C8" s="10">
        <v>0.2</v>
      </c>
    </row>
    <row r="9" spans="2:6" ht="15" customHeight="1" x14ac:dyDescent="0.2">
      <c r="B9" t="s">
        <v>27</v>
      </c>
      <c r="C9" s="10">
        <v>0.25</v>
      </c>
    </row>
    <row r="10" spans="2:6" ht="15" customHeight="1" x14ac:dyDescent="0.2">
      <c r="B10" t="s">
        <v>28</v>
      </c>
      <c r="C10" s="10">
        <v>0.1</v>
      </c>
    </row>
    <row r="11" spans="2:6" ht="15" customHeight="1" x14ac:dyDescent="0.2">
      <c r="B11" t="s">
        <v>29</v>
      </c>
      <c r="C11" s="11">
        <f>C6+C7+C8+C9+C10</f>
        <v>1</v>
      </c>
    </row>
    <row r="13" spans="2:6" ht="15" customHeight="1" x14ac:dyDescent="0.2">
      <c r="B13" t="s">
        <v>30</v>
      </c>
      <c r="C13" s="12">
        <v>300</v>
      </c>
    </row>
    <row r="14" spans="2:6" ht="15" customHeight="1" x14ac:dyDescent="0.2">
      <c r="B14" t="s">
        <v>31</v>
      </c>
      <c r="C14" s="12">
        <v>850</v>
      </c>
    </row>
    <row r="15" spans="2:6" ht="15" customHeight="1" x14ac:dyDescent="0.2">
      <c r="B15" t="s">
        <v>32</v>
      </c>
      <c r="C15" s="12">
        <v>300000</v>
      </c>
    </row>
    <row r="16" spans="2:6" ht="15" customHeight="1" x14ac:dyDescent="0.2">
      <c r="B16" t="s">
        <v>33</v>
      </c>
      <c r="C16" s="12">
        <v>300000</v>
      </c>
    </row>
    <row r="17" spans="2:3" ht="15" customHeight="1" x14ac:dyDescent="0.2">
      <c r="B17" t="s">
        <v>34</v>
      </c>
      <c r="C17" s="12">
        <v>500000</v>
      </c>
    </row>
    <row r="18" spans="2:3" ht="15" customHeight="1" x14ac:dyDescent="0.2">
      <c r="B18" t="s">
        <v>35</v>
      </c>
      <c r="C18" s="12">
        <v>5</v>
      </c>
    </row>
    <row r="20" spans="2:3" ht="15" customHeight="1" x14ac:dyDescent="0.2">
      <c r="B20" t="s">
        <v>36</v>
      </c>
      <c r="C20" s="12">
        <v>33</v>
      </c>
    </row>
    <row r="21" spans="2:3" ht="15" customHeight="1" x14ac:dyDescent="0.2">
      <c r="B21" t="s">
        <v>37</v>
      </c>
      <c r="C21" s="12">
        <v>66</v>
      </c>
    </row>
  </sheetData>
  <mergeCells count="1">
    <mergeCell ref="B3:F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2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34" customWidth="1"/>
    <col min="2" max="5" width="16" customWidth="1"/>
  </cols>
  <sheetData>
    <row r="2" spans="1:5" ht="17.25" customHeight="1" x14ac:dyDescent="0.2">
      <c r="B2" s="8" t="s">
        <v>38</v>
      </c>
    </row>
    <row r="4" spans="1:5" ht="15" customHeight="1" x14ac:dyDescent="0.2">
      <c r="B4" s="4" t="s">
        <v>39</v>
      </c>
    </row>
    <row r="5" spans="1:5" ht="15" customHeight="1" x14ac:dyDescent="0.2">
      <c r="A5" s="13" t="s">
        <v>40</v>
      </c>
      <c r="B5" s="13" t="s">
        <v>41</v>
      </c>
      <c r="C5" s="13" t="s">
        <v>42</v>
      </c>
      <c r="D5" s="13" t="s">
        <v>43</v>
      </c>
      <c r="E5" s="13" t="s">
        <v>44</v>
      </c>
    </row>
    <row r="6" spans="1:5" ht="15" customHeight="1" x14ac:dyDescent="0.2">
      <c r="A6" s="4" t="s">
        <v>45</v>
      </c>
      <c r="B6" s="14">
        <v>280000</v>
      </c>
      <c r="C6" s="14">
        <v>180000</v>
      </c>
      <c r="D6" s="14">
        <v>100000</v>
      </c>
      <c r="E6" s="14">
        <v>150000</v>
      </c>
    </row>
    <row r="7" spans="1:5" ht="15" customHeight="1" x14ac:dyDescent="0.2">
      <c r="A7" s="4" t="s">
        <v>46</v>
      </c>
      <c r="B7" s="15">
        <v>760</v>
      </c>
      <c r="C7" s="15">
        <v>700</v>
      </c>
      <c r="D7" s="15">
        <v>660</v>
      </c>
      <c r="E7" s="15">
        <v>720</v>
      </c>
    </row>
    <row r="8" spans="1:5" ht="15" customHeight="1" x14ac:dyDescent="0.2">
      <c r="A8" s="4" t="s">
        <v>47</v>
      </c>
      <c r="B8" s="14">
        <v>150000</v>
      </c>
      <c r="C8" s="14">
        <v>100000</v>
      </c>
      <c r="D8" s="14">
        <v>90000</v>
      </c>
      <c r="E8" s="14">
        <v>200000</v>
      </c>
    </row>
    <row r="9" spans="1:5" ht="15" customHeight="1" x14ac:dyDescent="0.2">
      <c r="A9" s="4" t="s">
        <v>48</v>
      </c>
      <c r="B9" s="14">
        <v>450000</v>
      </c>
      <c r="C9" s="14">
        <v>120000</v>
      </c>
      <c r="D9" s="14">
        <v>20000</v>
      </c>
      <c r="E9" s="14">
        <v>80000</v>
      </c>
    </row>
    <row r="10" spans="1:5" ht="15" customHeight="1" x14ac:dyDescent="0.2">
      <c r="A10" s="4" t="s">
        <v>49</v>
      </c>
      <c r="B10" s="15">
        <v>0</v>
      </c>
      <c r="C10" s="15">
        <v>1</v>
      </c>
      <c r="D10" s="15">
        <v>2</v>
      </c>
      <c r="E10" s="15">
        <v>1</v>
      </c>
    </row>
    <row r="12" spans="1:5" ht="15" customHeight="1" x14ac:dyDescent="0.2">
      <c r="B12" s="4" t="s">
        <v>50</v>
      </c>
    </row>
    <row r="13" spans="1:5" ht="15" customHeight="1" x14ac:dyDescent="0.2">
      <c r="A13" s="13" t="s">
        <v>51</v>
      </c>
      <c r="B13" s="13" t="s">
        <v>41</v>
      </c>
      <c r="C13" s="13" t="s">
        <v>42</v>
      </c>
      <c r="D13" s="13" t="s">
        <v>43</v>
      </c>
      <c r="E13" s="13" t="s">
        <v>44</v>
      </c>
    </row>
    <row r="14" spans="1:5" ht="15" customHeight="1" x14ac:dyDescent="0.2">
      <c r="A14" t="s">
        <v>52</v>
      </c>
      <c r="B14" s="16">
        <f>(B7-'Model Params'!$C$13)/('Model Params'!$C$14-'Model Params'!$C$13)*100</f>
        <v>83.636363636363626</v>
      </c>
      <c r="C14" s="16">
        <f>(C7-'Model Params'!$C$13)/('Model Params'!$C$14-'Model Params'!$C$13)*100</f>
        <v>72.727272727272734</v>
      </c>
      <c r="D14" s="16">
        <f>(D7-'Model Params'!$C$13)/('Model Params'!$C$14-'Model Params'!$C$13)*100</f>
        <v>65.454545454545453</v>
      </c>
      <c r="E14" s="16">
        <f>(E7-'Model Params'!$C$13)/('Model Params'!$C$14-'Model Params'!$C$13)*100</f>
        <v>76.363636363636374</v>
      </c>
    </row>
    <row r="15" spans="1:5" ht="15" customHeight="1" x14ac:dyDescent="0.2">
      <c r="A15" t="s">
        <v>53</v>
      </c>
      <c r="B15" s="16">
        <f>MIN(B6/'Model Params'!$C$15,1)*100</f>
        <v>93.333333333333329</v>
      </c>
      <c r="C15" s="16">
        <f>MIN(C6/'Model Params'!$C$15,1)*100</f>
        <v>60</v>
      </c>
      <c r="D15" s="16">
        <f>MIN(D6/'Model Params'!$C$15,1)*100</f>
        <v>33.333333333333329</v>
      </c>
      <c r="E15" s="16">
        <f>MIN(E6/'Model Params'!$C$15,1)*100</f>
        <v>50</v>
      </c>
    </row>
    <row r="16" spans="1:5" ht="15" customHeight="1" x14ac:dyDescent="0.2">
      <c r="A16" t="s">
        <v>54</v>
      </c>
      <c r="B16" s="16">
        <f>MIN(B8/'Model Params'!$C$16,1)*100</f>
        <v>50</v>
      </c>
      <c r="C16" s="16">
        <f>MIN(C8/'Model Params'!$C$16,1)*100</f>
        <v>33.333333333333329</v>
      </c>
      <c r="D16" s="16">
        <f>MIN(D8/'Model Params'!$C$16,1)*100</f>
        <v>30</v>
      </c>
      <c r="E16" s="16">
        <f>MIN(E8/'Model Params'!$C$16,1)*100</f>
        <v>66.666666666666657</v>
      </c>
    </row>
    <row r="17" spans="1:5" ht="15" customHeight="1" x14ac:dyDescent="0.2">
      <c r="A17" t="s">
        <v>55</v>
      </c>
      <c r="B17" s="16">
        <f>MIN(B9/'Model Params'!$C$17,1)*100</f>
        <v>90</v>
      </c>
      <c r="C17" s="16">
        <f>MIN(C9/'Model Params'!$C$17,1)*100</f>
        <v>24</v>
      </c>
      <c r="D17" s="16">
        <f>MIN(D9/'Model Params'!$C$17,1)*100</f>
        <v>4</v>
      </c>
      <c r="E17" s="16">
        <f>MIN(E9/'Model Params'!$C$17,1)*100</f>
        <v>16</v>
      </c>
    </row>
    <row r="18" spans="1:5" ht="15" customHeight="1" x14ac:dyDescent="0.2">
      <c r="A18" t="s">
        <v>56</v>
      </c>
      <c r="B18" s="16">
        <f>MIN(B10/'Model Params'!$C$18,1)*100</f>
        <v>0</v>
      </c>
      <c r="C18" s="16">
        <f>MIN(C10/'Model Params'!$C$18,1)*100</f>
        <v>20</v>
      </c>
      <c r="D18" s="16">
        <f>MIN(D10/'Model Params'!$C$18,1)*100</f>
        <v>40</v>
      </c>
      <c r="E18" s="16">
        <f>MIN(E10/'Model Params'!$C$18,1)*100</f>
        <v>20</v>
      </c>
    </row>
    <row r="20" spans="1:5" ht="15" customHeight="1" x14ac:dyDescent="0.2">
      <c r="B20" s="4" t="s">
        <v>57</v>
      </c>
    </row>
    <row r="21" spans="1:5" ht="15" customHeight="1" x14ac:dyDescent="0.2">
      <c r="A21" s="13"/>
      <c r="B21" s="13" t="s">
        <v>41</v>
      </c>
      <c r="C21" s="13" t="s">
        <v>42</v>
      </c>
      <c r="D21" s="13" t="s">
        <v>43</v>
      </c>
      <c r="E21" s="13" t="s">
        <v>44</v>
      </c>
    </row>
    <row r="22" spans="1:5" ht="15" customHeight="1" x14ac:dyDescent="0.2">
      <c r="A22" s="4" t="s">
        <v>58</v>
      </c>
      <c r="B22" s="17">
        <f>B14*'Model Params'!$C$6+B15*'Model Params'!$C$7+B16*'Model Params'!$C$8+B17*'Model Params'!$C$9+B18*'Model Params'!$C$10</f>
        <v>72.075757575757578</v>
      </c>
      <c r="C22" s="17">
        <f>C14*'Model Params'!$C$6+C15*'Model Params'!$C$7+C16*'Model Params'!$C$8+C17*'Model Params'!$C$9+C18*'Model Params'!$C$10</f>
        <v>44.848484848484851</v>
      </c>
      <c r="D22" s="17">
        <f>D14*'Model Params'!$C$6+D15*'Model Params'!$C$7+D16*'Model Params'!$C$8+D17*'Model Params'!$C$9+D18*'Model Params'!$C$10</f>
        <v>34.030303030303031</v>
      </c>
      <c r="E22" s="17">
        <f>E14*'Model Params'!$C$6+E15*'Model Params'!$C$7+E16*'Model Params'!$C$8+E17*'Model Params'!$C$9+E18*'Model Params'!$C$10</f>
        <v>48.424242424242422</v>
      </c>
    </row>
    <row r="23" spans="1:5" ht="15" customHeight="1" x14ac:dyDescent="0.2">
      <c r="A23" s="4" t="s">
        <v>59</v>
      </c>
      <c r="B23" s="18" t="str">
        <f>IF(B22&lt;='Model Params'!$C$20,"High Risk",IF(B22&lt;='Model Params'!$C$21,"Medium Risk","Low Risk"))</f>
        <v>Low Risk</v>
      </c>
      <c r="C23" s="18" t="str">
        <f>IF(C22&lt;='Model Params'!$C$20,"High Risk",IF(C22&lt;='Model Params'!$C$21,"Medium Risk","Low Risk"))</f>
        <v>Medium Risk</v>
      </c>
      <c r="D23" s="18" t="str">
        <f>IF(D22&lt;='Model Params'!$C$20,"High Risk",IF(D22&lt;='Model Params'!$C$21,"Medium Risk","Low Risk"))</f>
        <v>Medium Risk</v>
      </c>
      <c r="E23" s="18" t="str">
        <f>IF(E22&lt;='Model Params'!$C$20,"High Risk",IF(E22&lt;='Model Params'!$C$21,"Medium Risk","Low Risk"))</f>
        <v>Medium Risk</v>
      </c>
    </row>
    <row r="24" spans="1:5" ht="15" customHeight="1" x14ac:dyDescent="0.2">
      <c r="A24" s="4" t="s">
        <v>60</v>
      </c>
      <c r="B24" s="17">
        <f>B14*'Model Params'!$C$6+B15*'Model Params'!$C$7+(100-B16)*'Model Params'!$C$8+B17*'Model Params'!$C$9+(100-B18)*'Model Params'!$C$10</f>
        <v>82.075757575757578</v>
      </c>
      <c r="C24" s="17">
        <f>C14*'Model Params'!$C$6+C15*'Model Params'!$C$7+(100-C16)*'Model Params'!$C$8+C17*'Model Params'!$C$9+(100-C18)*'Model Params'!$C$10</f>
        <v>57.515151515151516</v>
      </c>
      <c r="D24" s="17">
        <f>D14*'Model Params'!$C$6+D15*'Model Params'!$C$7+(100-D16)*'Model Params'!$C$8+D17*'Model Params'!$C$9+(100-D18)*'Model Params'!$C$10</f>
        <v>44.030303030303031</v>
      </c>
      <c r="E24" s="17">
        <f>E14*'Model Params'!$C$6+E15*'Model Params'!$C$7+(100-E16)*'Model Params'!$C$8+E17*'Model Params'!$C$9+(100-E18)*'Model Params'!$C$10</f>
        <v>47.757575757575765</v>
      </c>
    </row>
    <row r="25" spans="1:5" ht="15" customHeight="1" x14ac:dyDescent="0.2">
      <c r="A25" s="4" t="s">
        <v>61</v>
      </c>
      <c r="B25" s="18" t="str">
        <f>IF(B24&lt;='Model Params'!$C$20,"High Risk",IF(B24&lt;='Model Params'!$C$21,"Medium Risk","Low Risk"))</f>
        <v>Low Risk</v>
      </c>
      <c r="C25" s="18" t="str">
        <f>IF(C24&lt;='Model Params'!$C$20,"High Risk",IF(C24&lt;='Model Params'!$C$21,"Medium Risk","Low Risk"))</f>
        <v>Medium Risk</v>
      </c>
      <c r="D25" s="18" t="str">
        <f>IF(D24&lt;='Model Params'!$C$20,"High Risk",IF(D24&lt;='Model Params'!$C$21,"Medium Risk","Low Risk"))</f>
        <v>Medium Risk</v>
      </c>
      <c r="E25" s="18" t="str">
        <f>IF(E24&lt;='Model Params'!$C$20,"High Risk",IF(E24&lt;='Model Params'!$C$21,"Medium Risk","Low Risk"))</f>
        <v>Medium Risk</v>
      </c>
    </row>
    <row r="26" spans="1:5" ht="15" customHeight="1" x14ac:dyDescent="0.2">
      <c r="A26" s="4" t="s">
        <v>62</v>
      </c>
      <c r="B26" s="17">
        <f>IF(B24&lt;='Model Params'!$C$20,'Model Params'!$C$20-B24,IF(B24&lt;='Model Params'!$C$21,MIN(B24-'Model Params'!$C$20,'Model Params'!$C$21-B24),B24-'Model Params'!$C$21))</f>
        <v>16.075757575757578</v>
      </c>
      <c r="C26" s="17">
        <f>IF(C24&lt;='Model Params'!$C$20,'Model Params'!$C$20-C24,IF(C24&lt;='Model Params'!$C$21,MIN(C24-'Model Params'!$C$20,'Model Params'!$C$21-C24),C24-'Model Params'!$C$21))</f>
        <v>8.4848484848484844</v>
      </c>
      <c r="D26" s="17">
        <f>IF(D24&lt;='Model Params'!$C$20,'Model Params'!$C$20-D24,IF(D24&lt;='Model Params'!$C$21,MIN(D24-'Model Params'!$C$20,'Model Params'!$C$21-D24),D24-'Model Params'!$C$21))</f>
        <v>11.030303030303031</v>
      </c>
      <c r="E26" s="17">
        <f>IF(E24&lt;='Model Params'!$C$20,'Model Params'!$C$20-E24,IF(E24&lt;='Model Params'!$C$21,MIN(E24-'Model Params'!$C$20,'Model Params'!$C$21-E24),E24-'Model Params'!$C$21))</f>
        <v>14.757575757575765</v>
      </c>
    </row>
    <row r="28" spans="1:5" ht="45" customHeight="1" x14ac:dyDescent="0.2">
      <c r="A28" s="2" t="s">
        <v>63</v>
      </c>
      <c r="B28" s="2"/>
      <c r="C28" s="2"/>
      <c r="D28" s="2"/>
      <c r="E28" s="2"/>
    </row>
  </sheetData>
  <mergeCells count="1">
    <mergeCell ref="A28:E28"/>
  </mergeCells>
  <conditionalFormatting sqref="B16:E16">
    <cfRule type="cellIs" dxfId="8" priority="2" operator="equal">
      <formula>"Low Risk"</formula>
    </cfRule>
    <cfRule type="cellIs" dxfId="7" priority="3" operator="equal">
      <formula>"Medium Risk"</formula>
    </cfRule>
    <cfRule type="cellIs" dxfId="6" priority="4" operator="equal">
      <formula>"High Risk"</formula>
    </cfRule>
  </conditionalFormatting>
  <conditionalFormatting sqref="B18:E18">
    <cfRule type="cellIs" dxfId="5" priority="5" operator="equal">
      <formula>"Low Risk"</formula>
    </cfRule>
    <cfRule type="cellIs" dxfId="4" priority="6" operator="equal">
      <formula>"Medium Risk"</formula>
    </cfRule>
    <cfRule type="cellIs" dxfId="3" priority="7" operator="equal">
      <formula>"High Risk"</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11"/>
  <sheetViews>
    <sheetView showGridLines="0" tabSelected="1" zoomScaleNormal="100" workbookViewId="0"/>
  </sheetViews>
  <sheetFormatPr baseColWidth="10" defaultColWidth="8.6640625" defaultRowHeight="15" x14ac:dyDescent="0.2"/>
  <cols>
    <col min="1" max="1" width="12" customWidth="1"/>
    <col min="2" max="2" width="14" customWidth="1"/>
    <col min="3" max="3" width="15" customWidth="1"/>
    <col min="4" max="4" width="16" customWidth="1"/>
    <col min="5" max="5" width="14" customWidth="1"/>
    <col min="6" max="6" width="34" customWidth="1"/>
    <col min="7" max="7" width="40" customWidth="1"/>
  </cols>
  <sheetData>
    <row r="2" spans="1:8" ht="17.25" customHeight="1" x14ac:dyDescent="0.2">
      <c r="B2" s="8" t="s">
        <v>64</v>
      </c>
    </row>
    <row r="3" spans="1:8" ht="30" customHeight="1" x14ac:dyDescent="0.2">
      <c r="B3" s="1" t="s">
        <v>65</v>
      </c>
      <c r="C3" s="1"/>
      <c r="D3" s="1"/>
      <c r="E3" s="1"/>
      <c r="F3" s="1"/>
      <c r="G3" s="1"/>
      <c r="H3" s="1"/>
    </row>
    <row r="5" spans="1:8" ht="26.25" customHeight="1" x14ac:dyDescent="0.2">
      <c r="A5" s="13" t="s">
        <v>66</v>
      </c>
      <c r="B5" s="13" t="s">
        <v>67</v>
      </c>
      <c r="C5" s="13" t="s">
        <v>68</v>
      </c>
      <c r="D5" s="13" t="s">
        <v>69</v>
      </c>
      <c r="E5" s="13" t="s">
        <v>70</v>
      </c>
      <c r="F5" s="13" t="s">
        <v>71</v>
      </c>
      <c r="G5" s="13" t="s">
        <v>72</v>
      </c>
    </row>
    <row r="6" spans="1:8" ht="30" customHeight="1" x14ac:dyDescent="0.2">
      <c r="A6" s="19" t="s">
        <v>41</v>
      </c>
      <c r="B6" s="19" t="s">
        <v>73</v>
      </c>
      <c r="C6" s="20">
        <v>82.08</v>
      </c>
      <c r="D6" s="19" t="s">
        <v>74</v>
      </c>
      <c r="E6" s="19" t="s">
        <v>75</v>
      </c>
      <c r="F6" s="19" t="s">
        <v>76</v>
      </c>
      <c r="G6" s="19" t="s">
        <v>77</v>
      </c>
    </row>
    <row r="7" spans="1:8" ht="30" customHeight="1" x14ac:dyDescent="0.2">
      <c r="A7" s="19" t="s">
        <v>42</v>
      </c>
      <c r="B7" s="19" t="s">
        <v>73</v>
      </c>
      <c r="C7" s="20">
        <v>57.52</v>
      </c>
      <c r="D7" s="19" t="s">
        <v>78</v>
      </c>
      <c r="E7" s="19" t="s">
        <v>75</v>
      </c>
      <c r="F7" s="19" t="s">
        <v>76</v>
      </c>
      <c r="G7" s="19" t="s">
        <v>79</v>
      </c>
    </row>
    <row r="8" spans="1:8" ht="30" customHeight="1" x14ac:dyDescent="0.2">
      <c r="A8" s="19" t="s">
        <v>43</v>
      </c>
      <c r="B8" s="19" t="s">
        <v>73</v>
      </c>
      <c r="C8" s="20">
        <v>44.03</v>
      </c>
      <c r="D8" s="19" t="s">
        <v>78</v>
      </c>
      <c r="E8" s="19" t="s">
        <v>75</v>
      </c>
      <c r="F8" s="19" t="s">
        <v>76</v>
      </c>
      <c r="G8" s="19" t="s">
        <v>80</v>
      </c>
    </row>
    <row r="9" spans="1:8" ht="30" customHeight="1" x14ac:dyDescent="0.2">
      <c r="A9" s="19" t="s">
        <v>44</v>
      </c>
      <c r="B9" s="19" t="s">
        <v>73</v>
      </c>
      <c r="C9" s="20">
        <v>47.76</v>
      </c>
      <c r="D9" s="19" t="s">
        <v>78</v>
      </c>
      <c r="E9" s="19" t="s">
        <v>75</v>
      </c>
      <c r="F9" s="19" t="s">
        <v>76</v>
      </c>
      <c r="G9" s="19" t="s">
        <v>79</v>
      </c>
    </row>
    <row r="11" spans="1:8" ht="60" customHeight="1" x14ac:dyDescent="0.2">
      <c r="B11" s="2" t="s">
        <v>81</v>
      </c>
      <c r="C11" s="2"/>
      <c r="D11" s="2"/>
      <c r="E11" s="2"/>
      <c r="F11" s="2"/>
      <c r="G11" s="2"/>
    </row>
  </sheetData>
  <mergeCells count="2">
    <mergeCell ref="B3:H3"/>
    <mergeCell ref="B11:G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13"/>
  <sheetViews>
    <sheetView showGridLines="0" zoomScaleNormal="100" workbookViewId="0">
      <pane ySplit="5" topLeftCell="A6" activePane="bottomLeft" state="frozen"/>
      <selection pane="bottomLeft"/>
    </sheetView>
  </sheetViews>
  <sheetFormatPr baseColWidth="10" defaultColWidth="8.6640625" defaultRowHeight="15" x14ac:dyDescent="0.2"/>
  <cols>
    <col min="1" max="1" width="30" customWidth="1"/>
    <col min="2" max="2" width="12" customWidth="1"/>
    <col min="3" max="4" width="16" customWidth="1"/>
    <col min="5" max="5" width="10" customWidth="1"/>
    <col min="6" max="6" width="12" customWidth="1"/>
    <col min="7" max="7" width="32" customWidth="1"/>
    <col min="8" max="9" width="14" customWidth="1"/>
    <col min="10" max="10" width="40" customWidth="1"/>
  </cols>
  <sheetData>
    <row r="2" spans="1:10" ht="17.25" customHeight="1" x14ac:dyDescent="0.2">
      <c r="B2" s="8" t="s">
        <v>82</v>
      </c>
    </row>
    <row r="3" spans="1:10" ht="15" customHeight="1" x14ac:dyDescent="0.2">
      <c r="B3" s="1" t="s">
        <v>83</v>
      </c>
      <c r="C3" s="1"/>
      <c r="D3" s="1"/>
      <c r="E3" s="1"/>
      <c r="F3" s="1"/>
      <c r="G3" s="1"/>
      <c r="H3" s="1"/>
      <c r="I3" s="1"/>
      <c r="J3" s="1"/>
    </row>
    <row r="5" spans="1:10" ht="39" customHeight="1" x14ac:dyDescent="0.2">
      <c r="A5" s="13" t="s">
        <v>84</v>
      </c>
      <c r="B5" s="13" t="s">
        <v>85</v>
      </c>
      <c r="C5" s="13" t="s">
        <v>86</v>
      </c>
      <c r="D5" s="13" t="s">
        <v>87</v>
      </c>
      <c r="E5" s="13" t="s">
        <v>88</v>
      </c>
      <c r="F5" s="13" t="s">
        <v>89</v>
      </c>
      <c r="G5" s="13" t="s">
        <v>90</v>
      </c>
      <c r="H5" s="13" t="s">
        <v>91</v>
      </c>
      <c r="I5" s="13" t="s">
        <v>92</v>
      </c>
      <c r="J5" s="13" t="s">
        <v>93</v>
      </c>
    </row>
    <row r="6" spans="1:10" ht="45" customHeight="1" x14ac:dyDescent="0.2">
      <c r="A6" s="21" t="s">
        <v>94</v>
      </c>
      <c r="B6" s="22">
        <v>0.15</v>
      </c>
      <c r="C6" s="14">
        <v>900000</v>
      </c>
      <c r="D6" s="23">
        <f>B6*C6</f>
        <v>135000</v>
      </c>
      <c r="E6" s="17">
        <f>D6/10000</f>
        <v>13.5</v>
      </c>
      <c r="F6" s="18" t="str">
        <f>IF(E6&lt;=10,"Low Risk",IF(E6&lt;=25,"Medium Risk","High Risk"))</f>
        <v>Medium Risk</v>
      </c>
      <c r="G6" s="24" t="s">
        <v>95</v>
      </c>
      <c r="H6" s="14">
        <v>45000</v>
      </c>
      <c r="I6" s="25">
        <f>H6/D6</f>
        <v>0.33333333333333331</v>
      </c>
      <c r="J6" s="24" t="s">
        <v>96</v>
      </c>
    </row>
    <row r="7" spans="1:10" ht="45" customHeight="1" x14ac:dyDescent="0.2">
      <c r="A7" s="21" t="s">
        <v>97</v>
      </c>
      <c r="B7" s="22">
        <v>0.4</v>
      </c>
      <c r="C7" s="14">
        <v>120000</v>
      </c>
      <c r="D7" s="23">
        <f>B7*C7</f>
        <v>48000</v>
      </c>
      <c r="E7" s="17">
        <f>D7/10000</f>
        <v>4.8</v>
      </c>
      <c r="F7" s="18" t="str">
        <f>IF(E7&lt;=10,"Low Risk",IF(E7&lt;=25,"Medium Risk","High Risk"))</f>
        <v>Low Risk</v>
      </c>
      <c r="G7" s="24" t="s">
        <v>98</v>
      </c>
      <c r="H7" s="14">
        <v>8000</v>
      </c>
      <c r="I7" s="25">
        <f>H7/D7</f>
        <v>0.16666666666666666</v>
      </c>
      <c r="J7" s="24" t="s">
        <v>99</v>
      </c>
    </row>
    <row r="8" spans="1:10" ht="45" customHeight="1" x14ac:dyDescent="0.2">
      <c r="A8" s="21" t="s">
        <v>100</v>
      </c>
      <c r="B8" s="22">
        <v>0.35</v>
      </c>
      <c r="C8" s="14">
        <v>250000</v>
      </c>
      <c r="D8" s="23">
        <f>B8*C8</f>
        <v>87500</v>
      </c>
      <c r="E8" s="17">
        <f>D8/10000</f>
        <v>8.75</v>
      </c>
      <c r="F8" s="18" t="str">
        <f>IF(E8&lt;=10,"Low Risk",IF(E8&lt;=25,"Medium Risk","High Risk"))</f>
        <v>Low Risk</v>
      </c>
      <c r="G8" s="24" t="s">
        <v>101</v>
      </c>
      <c r="H8" s="14">
        <v>60000</v>
      </c>
      <c r="I8" s="25">
        <f>H8/D8</f>
        <v>0.68571428571428572</v>
      </c>
      <c r="J8" s="24" t="s">
        <v>102</v>
      </c>
    </row>
    <row r="9" spans="1:10" ht="45" customHeight="1" x14ac:dyDescent="0.2">
      <c r="A9" s="21" t="s">
        <v>103</v>
      </c>
      <c r="B9" s="22">
        <v>0.6</v>
      </c>
      <c r="C9" s="14">
        <v>90000</v>
      </c>
      <c r="D9" s="23">
        <f>B9*C9</f>
        <v>54000</v>
      </c>
      <c r="E9" s="17">
        <f>D9/10000</f>
        <v>5.4</v>
      </c>
      <c r="F9" s="18" t="str">
        <f>IF(E9&lt;=10,"Low Risk",IF(E9&lt;=25,"Medium Risk","High Risk"))</f>
        <v>Low Risk</v>
      </c>
      <c r="G9" s="24" t="s">
        <v>104</v>
      </c>
      <c r="H9" s="14">
        <v>15000</v>
      </c>
      <c r="I9" s="25">
        <f>H9/D9</f>
        <v>0.27777777777777779</v>
      </c>
      <c r="J9" s="24" t="s">
        <v>105</v>
      </c>
    </row>
    <row r="10" spans="1:10" ht="45" customHeight="1" x14ac:dyDescent="0.2">
      <c r="A10" s="21" t="s">
        <v>106</v>
      </c>
      <c r="B10" s="22">
        <v>0.25</v>
      </c>
      <c r="C10" s="14">
        <v>150000</v>
      </c>
      <c r="D10" s="23">
        <f>B10*C10</f>
        <v>37500</v>
      </c>
      <c r="E10" s="17">
        <f>D10/10000</f>
        <v>3.75</v>
      </c>
      <c r="F10" s="18" t="str">
        <f>IF(E10&lt;=10,"Low Risk",IF(E10&lt;=25,"Medium Risk","High Risk"))</f>
        <v>Low Risk</v>
      </c>
      <c r="G10" s="24" t="s">
        <v>107</v>
      </c>
      <c r="H10" s="14">
        <v>20000</v>
      </c>
      <c r="I10" s="25">
        <f>H10/D10</f>
        <v>0.53333333333333333</v>
      </c>
      <c r="J10" s="24" t="s">
        <v>108</v>
      </c>
    </row>
    <row r="12" spans="1:10" ht="15" customHeight="1" x14ac:dyDescent="0.2">
      <c r="A12" s="4" t="s">
        <v>109</v>
      </c>
      <c r="D12" s="26">
        <f>SUM(D6:D10)</f>
        <v>362000</v>
      </c>
      <c r="H12" s="26">
        <f>SUM(H6:H10)</f>
        <v>148000</v>
      </c>
    </row>
    <row r="13" spans="1:10" ht="15" customHeight="1" x14ac:dyDescent="0.2">
      <c r="A13" s="4" t="s">
        <v>110</v>
      </c>
      <c r="D13" s="26">
        <f>D12-H12</f>
        <v>214000</v>
      </c>
    </row>
  </sheetData>
  <mergeCells count="1">
    <mergeCell ref="B3:J3"/>
  </mergeCells>
  <conditionalFormatting sqref="F6:F10">
    <cfRule type="cellIs" dxfId="2" priority="2" operator="equal">
      <formula>"Low Risk"</formula>
    </cfRule>
    <cfRule type="cellIs" dxfId="1" priority="3" operator="equal">
      <formula>"Medium Risk"</formula>
    </cfRule>
    <cfRule type="cellIs" dxfId="0" priority="4" operator="equal">
      <formula>"High Risk"</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Model Params</vt:lpstr>
      <vt:lpstr>Credit Risk</vt:lpstr>
      <vt:lpstr>Sensitivity</vt:lpstr>
      <vt:lpstr>Real Estate 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 Banasree Sarkar</cp:lastModifiedBy>
  <cp:revision>0</cp:revision>
  <dcterms:created xsi:type="dcterms:W3CDTF">2026-09-25T19:49:43Z</dcterms:created>
  <dcterms:modified xsi:type="dcterms:W3CDTF">2026-09-28T22:15:36Z</dcterms:modified>
  <dc:language>en-US</dc:language>
</cp:coreProperties>
</file>